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min\OneDrive\Desktop\"/>
    </mc:Choice>
  </mc:AlternateContent>
  <xr:revisionPtr revIDLastSave="0" documentId="8_{F8F6FFC3-E0A1-450A-9DF5-7F75A0930449}" xr6:coauthVersionLast="47" xr6:coauthVersionMax="47" xr10:uidLastSave="{00000000-0000-0000-0000-000000000000}"/>
  <bookViews>
    <workbookView xWindow="-120" yWindow="-120" windowWidth="20730" windowHeight="11160" activeTab="1" xr2:uid="{00000000-000D-0000-FFFF-FFFF00000000}"/>
  </bookViews>
  <sheets>
    <sheet name="Sheet1" sheetId="1" r:id="rId1"/>
    <sheet name="Sheet2" sheetId="2" r:id="rId2"/>
  </sheets>
  <definedNames>
    <definedName name="_xlnm._FilterDatabase" localSheetId="0" hidden="1">Sheet1!$A$1:$H$94</definedName>
  </definedNames>
  <calcPr calcId="191029"/>
  <fileRecoveryPr repairLoad="1"/>
</workbook>
</file>

<file path=xl/calcChain.xml><?xml version="1.0" encoding="utf-8"?>
<calcChain xmlns="http://schemas.openxmlformats.org/spreadsheetml/2006/main">
  <c r="I3" i="1" l="1"/>
  <c r="I4" i="1" s="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alcChain>
</file>

<file path=xl/sharedStrings.xml><?xml version="1.0" encoding="utf-8"?>
<sst xmlns="http://schemas.openxmlformats.org/spreadsheetml/2006/main" count="140" uniqueCount="125">
  <si>
    <t>Company</t>
  </si>
  <si>
    <t>CMP (Rs)</t>
  </si>
  <si>
    <t>Profit CAGR (5 yrs,  %)</t>
  </si>
  <si>
    <t>Sales CAGR (5 yrs,  %)</t>
  </si>
  <si>
    <t>MCap (Rs m)</t>
  </si>
  <si>
    <t>P/E (x)</t>
  </si>
  <si>
    <t>D/E (Curr FY, x)</t>
  </si>
  <si>
    <t>RoE (5 yrs, Avg. %)</t>
  </si>
  <si>
    <t>DIXON TECHNOLOGIES</t>
  </si>
  <si>
    <t>ZOMATO</t>
  </si>
  <si>
    <t>NM</t>
  </si>
  <si>
    <t>MAX HEALTHCARE INSTITUTE</t>
  </si>
  <si>
    <t>JIO FINANCIAL SERVICES</t>
  </si>
  <si>
    <t>TRENT</t>
  </si>
  <si>
    <t xml:space="preserve">ADANI GREEN ENERGY </t>
  </si>
  <si>
    <t>SWIGGY LTD.</t>
  </si>
  <si>
    <t>L&amp;T INFOTECH</t>
  </si>
  <si>
    <t>SOLAR INDUSTRIES</t>
  </si>
  <si>
    <t>CHOLAMANDALAM INVEST</t>
  </si>
  <si>
    <t>TITAN</t>
  </si>
  <si>
    <t>VARUN BEVERAGES</t>
  </si>
  <si>
    <t>HDFC BANK</t>
  </si>
  <si>
    <t>ADANI PORTS &amp; SEZ</t>
  </si>
  <si>
    <t>BAJAJ FINANCE</t>
  </si>
  <si>
    <t>POLYCAB INDIA</t>
  </si>
  <si>
    <t>SHRIRAM TRANSPORT</t>
  </si>
  <si>
    <t>CANARA BANK</t>
  </si>
  <si>
    <t>BAJAJ FINSERV</t>
  </si>
  <si>
    <t xml:space="preserve">AVENUE SUPERMARTS </t>
  </si>
  <si>
    <t>TVS MOTORS</t>
  </si>
  <si>
    <t>MAZAGON DOCK SHIP.</t>
  </si>
  <si>
    <t>JSW STEEL</t>
  </si>
  <si>
    <t>INTERGLOBE AVIATION (INDIGO)</t>
  </si>
  <si>
    <t>PNB</t>
  </si>
  <si>
    <t>ADANI ENTERPRISES</t>
  </si>
  <si>
    <t>TATA POWER</t>
  </si>
  <si>
    <t>ICICI BANK</t>
  </si>
  <si>
    <t>ADANI POWER</t>
  </si>
  <si>
    <t>M&amp;M</t>
  </si>
  <si>
    <t>MUTHOOT FINANCE</t>
  </si>
  <si>
    <t>ADANI TRANSMISSION</t>
  </si>
  <si>
    <t>EICHER MOTOR</t>
  </si>
  <si>
    <t>BHARTI AIRTEL</t>
  </si>
  <si>
    <t>IRFC</t>
  </si>
  <si>
    <t>MARUTI SUZUKI</t>
  </si>
  <si>
    <t>HINDALCO</t>
  </si>
  <si>
    <t>CUMMINS INDIA</t>
  </si>
  <si>
    <t>AXIS BANK</t>
  </si>
  <si>
    <t>GRASIM</t>
  </si>
  <si>
    <t>KOTAK MAHINDRA BANK</t>
  </si>
  <si>
    <t>GAIL</t>
  </si>
  <si>
    <t>CG POWER &amp; INDUSTRIAL</t>
  </si>
  <si>
    <t>APOLLO HOSPITALS</t>
  </si>
  <si>
    <t>MOTHERSON SUMI</t>
  </si>
  <si>
    <t>BOSCH</t>
  </si>
  <si>
    <t>HINDUSTAN ZINC</t>
  </si>
  <si>
    <t>BHARAT ELECTRONICS</t>
  </si>
  <si>
    <t>TATA CONSUMER</t>
  </si>
  <si>
    <t>SBI</t>
  </si>
  <si>
    <t>VEDANTA</t>
  </si>
  <si>
    <t>PIDILITE INDUSTRIES</t>
  </si>
  <si>
    <t>INFOSYS</t>
  </si>
  <si>
    <t>ULTRATECH CEMENT</t>
  </si>
  <si>
    <t>L&amp;T</t>
  </si>
  <si>
    <t>HDFC AMC</t>
  </si>
  <si>
    <t>BAJAJ HOLDINGS &amp; INVESTMENT</t>
  </si>
  <si>
    <t>DIVIS LABORATORIES</t>
  </si>
  <si>
    <t>NTPC</t>
  </si>
  <si>
    <t>POWER FINANCE CORPORATION</t>
  </si>
  <si>
    <t>BAJAJ AUTO</t>
  </si>
  <si>
    <t>SIEMENS</t>
  </si>
  <si>
    <t>TATA MOTORS</t>
  </si>
  <si>
    <t>ASIAN PAINTS</t>
  </si>
  <si>
    <t>ABB INDIA</t>
  </si>
  <si>
    <t>HCL TECHNOLOGIES</t>
  </si>
  <si>
    <t>IOC</t>
  </si>
  <si>
    <t>TCS</t>
  </si>
  <si>
    <t>BANK OF BARODA</t>
  </si>
  <si>
    <t>CIPLA</t>
  </si>
  <si>
    <t>RELIANCE IND.</t>
  </si>
  <si>
    <t>SUN PHARMA</t>
  </si>
  <si>
    <t>HYUNDAI MOTOR INDIA LTD.</t>
  </si>
  <si>
    <t>BPCL</t>
  </si>
  <si>
    <t>HUL</t>
  </si>
  <si>
    <t>COAL INDIA</t>
  </si>
  <si>
    <t>JINDAL STEEL &amp; POWER</t>
  </si>
  <si>
    <t>BRITANNIA</t>
  </si>
  <si>
    <t>ONGC</t>
  </si>
  <si>
    <t>NESTLE</t>
  </si>
  <si>
    <t>TATA STEEL</t>
  </si>
  <si>
    <t>WIPRO</t>
  </si>
  <si>
    <t>ITC</t>
  </si>
  <si>
    <t>TORRENT PHARMA</t>
  </si>
  <si>
    <t>GODREJ CONSUMER</t>
  </si>
  <si>
    <t>HINDUSTAN AERO.</t>
  </si>
  <si>
    <t>TECH MAHINDRA</t>
  </si>
  <si>
    <t>AMBUJA CEMENT</t>
  </si>
  <si>
    <t>HERO MOTOCORP</t>
  </si>
  <si>
    <t>GOLDSTAR POWER</t>
  </si>
  <si>
    <t>DLF</t>
  </si>
  <si>
    <t>POWER GRID</t>
  </si>
  <si>
    <t>MACROTECH DEVELOPERS</t>
  </si>
  <si>
    <t>* We show NM where the values are negative</t>
  </si>
  <si>
    <t>Disclaimer: This is for information purposes only. These are not stock recommendations and should not be treated as such. Also note that these screeners are based only on numbers. There is no screening for management quality.</t>
  </si>
  <si>
    <t>Source: Equitymaster</t>
  </si>
  <si>
    <t>https://www.equitymaster.com/stock-screener/top-growth-stocks</t>
  </si>
  <si>
    <t>S.No.</t>
  </si>
  <si>
    <t>Name</t>
  </si>
  <si>
    <t>P/E</t>
  </si>
  <si>
    <t>Moschip Tech.</t>
  </si>
  <si>
    <t>GNG Electronics</t>
  </si>
  <si>
    <t>Bharat Global</t>
  </si>
  <si>
    <t>Rashi Peripheral</t>
  </si>
  <si>
    <t>NELCO</t>
  </si>
  <si>
    <t>D-Link India</t>
  </si>
  <si>
    <t>Control Print</t>
  </si>
  <si>
    <t>Esconet</t>
  </si>
  <si>
    <t>CMP Rs.</t>
  </si>
  <si>
    <t>Mar Cap Rs.Cr.</t>
  </si>
  <si>
    <t>Div Yld %</t>
  </si>
  <si>
    <t>NP Qtr Rs.Cr.</t>
  </si>
  <si>
    <t>Qtr Profit Var %</t>
  </si>
  <si>
    <t>Sales Qtr Rs.Cr.</t>
  </si>
  <si>
    <t>Qtr Sales Var %</t>
  </si>
  <si>
    <t>ROCE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</si>
</sst>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 x14ac:knownFonts="1">
    <font>
      <sz val="10"/>
      <name val="Calibri"/>
    </font>
    <font>
      <sz val="11"/>
      <name val="Calibri"/>
      <family val="2"/>
    </font>
    <font>
      <b/>
      <sz val="11"/>
      <name val="Calibri"/>
      <family val="2"/>
    </font>
    <font>
      <sz val="11"/>
      <color rgb="FFFF0000"/>
      <name val="Calibri"/>
      <family val="2"/>
    </font>
  </fonts>
  <fills count="5">
    <fill>
      <patternFill patternType="none"/>
    </fill>
    <fill>
      <patternFill patternType="gray125"/>
    </fill>
    <fill>
      <patternFill patternType="solid">
        <fgColor theme="9" tint="0.39997558519241921"/>
        <bgColor indexed="64"/>
      </patternFill>
    </fill>
    <fill>
      <patternFill patternType="solid">
        <fgColor rgb="FFFF0000"/>
        <bgColor indexed="64"/>
      </patternFill>
    </fill>
    <fill>
      <patternFill patternType="solid">
        <fgColor theme="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0" borderId="1" xfId="0" applyFont="1" applyBorder="1" applyAlignment="1">
      <alignment horizontal="left"/>
    </xf>
    <xf numFmtId="0" fontId="1" fillId="0" borderId="1" xfId="0" applyFont="1" applyBorder="1" applyAlignment="1">
      <alignment horizontal="right"/>
    </xf>
    <xf numFmtId="0" fontId="0" fillId="0" borderId="0" xfId="0" applyAlignment="1">
      <alignment horizontal="left"/>
    </xf>
    <xf numFmtId="164" fontId="1" fillId="0" borderId="1" xfId="0" applyNumberFormat="1" applyFont="1" applyBorder="1" applyAlignment="1">
      <alignment horizontal="right"/>
    </xf>
    <xf numFmtId="3" fontId="1" fillId="0" borderId="1" xfId="0" applyNumberFormat="1" applyFont="1" applyBorder="1" applyAlignment="1">
      <alignment horizontal="right"/>
    </xf>
    <xf numFmtId="165" fontId="1" fillId="0" borderId="1" xfId="0" applyNumberFormat="1" applyFont="1" applyBorder="1" applyAlignment="1">
      <alignment horizontal="right"/>
    </xf>
    <xf numFmtId="0" fontId="2" fillId="0" borderId="1" xfId="0" applyFont="1" applyBorder="1" applyAlignment="1">
      <alignment horizontal="left" wrapText="1"/>
    </xf>
    <xf numFmtId="0" fontId="2" fillId="0" borderId="1" xfId="0" applyFont="1" applyBorder="1" applyAlignment="1">
      <alignment horizontal="right" wrapText="1"/>
    </xf>
    <xf numFmtId="0" fontId="0" fillId="0" borderId="0" xfId="0" applyAlignment="1">
      <alignment wrapText="1"/>
    </xf>
    <xf numFmtId="0" fontId="1" fillId="2" borderId="1" xfId="0" applyFont="1" applyFill="1" applyBorder="1" applyAlignment="1">
      <alignment horizontal="left"/>
    </xf>
    <xf numFmtId="165" fontId="1" fillId="2" borderId="1" xfId="0" applyNumberFormat="1" applyFont="1" applyFill="1" applyBorder="1" applyAlignment="1">
      <alignment horizontal="right"/>
    </xf>
    <xf numFmtId="0" fontId="1" fillId="3" borderId="1" xfId="0" applyFont="1" applyFill="1" applyBorder="1" applyAlignment="1">
      <alignment horizontal="right"/>
    </xf>
    <xf numFmtId="9" fontId="0" fillId="0" borderId="0" xfId="0" applyNumberFormat="1" applyAlignment="1">
      <alignment wrapText="1"/>
    </xf>
    <xf numFmtId="164" fontId="1" fillId="2" borderId="1" xfId="0" applyNumberFormat="1" applyFont="1" applyFill="1" applyBorder="1" applyAlignment="1">
      <alignment horizontal="right"/>
    </xf>
    <xf numFmtId="164" fontId="3" fillId="0" borderId="1" xfId="0" applyNumberFormat="1" applyFont="1" applyBorder="1" applyAlignment="1">
      <alignment horizontal="right"/>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
  <sheetViews>
    <sheetView topLeftCell="A43" workbookViewId="0">
      <selection activeCell="J23" sqref="J23"/>
    </sheetView>
  </sheetViews>
  <sheetFormatPr defaultRowHeight="12.75" x14ac:dyDescent="0.2"/>
  <cols>
    <col min="1" max="1" width="30" customWidth="1"/>
    <col min="2" max="2" width="17.140625" customWidth="1"/>
    <col min="3" max="10" width="15" customWidth="1"/>
  </cols>
  <sheetData>
    <row r="1" spans="1:9" s="9" customFormat="1" ht="30.75" customHeight="1" x14ac:dyDescent="0.25">
      <c r="A1" s="7" t="s">
        <v>0</v>
      </c>
      <c r="B1" s="8" t="s">
        <v>1</v>
      </c>
      <c r="C1" s="8" t="s">
        <v>2</v>
      </c>
      <c r="D1" s="8" t="s">
        <v>3</v>
      </c>
      <c r="E1" s="8" t="s">
        <v>4</v>
      </c>
      <c r="F1" s="8" t="s">
        <v>5</v>
      </c>
      <c r="G1" s="8" t="s">
        <v>6</v>
      </c>
      <c r="H1" s="8" t="s">
        <v>7</v>
      </c>
      <c r="I1" s="13">
        <v>0.12</v>
      </c>
    </row>
    <row r="2" spans="1:9" ht="15" x14ac:dyDescent="0.25">
      <c r="A2" s="1" t="s">
        <v>32</v>
      </c>
      <c r="B2" s="4">
        <v>5557.65</v>
      </c>
      <c r="C2" s="12" t="s">
        <v>10</v>
      </c>
      <c r="D2" s="6">
        <v>0.17699999999999999</v>
      </c>
      <c r="E2" s="5">
        <v>214838.6</v>
      </c>
      <c r="F2" s="4">
        <v>32</v>
      </c>
      <c r="G2" s="14">
        <v>0.2</v>
      </c>
      <c r="H2" s="11">
        <v>1.0009999999999999</v>
      </c>
      <c r="I2">
        <v>1</v>
      </c>
    </row>
    <row r="3" spans="1:9" ht="15" x14ac:dyDescent="0.25">
      <c r="A3" s="1" t="s">
        <v>88</v>
      </c>
      <c r="B3" s="4">
        <v>1162.5</v>
      </c>
      <c r="C3" s="6">
        <v>0.09</v>
      </c>
      <c r="D3" s="6">
        <v>8.5999999999999993E-2</v>
      </c>
      <c r="E3" s="5">
        <v>224166.5</v>
      </c>
      <c r="F3" s="4">
        <v>71.3</v>
      </c>
      <c r="G3" s="14">
        <v>0.2</v>
      </c>
      <c r="H3" s="11">
        <v>0.80800000000000005</v>
      </c>
      <c r="I3">
        <f>I2+I2*$I$1</f>
        <v>1.1200000000000001</v>
      </c>
    </row>
    <row r="4" spans="1:9" ht="15" x14ac:dyDescent="0.25">
      <c r="A4" s="1" t="s">
        <v>86</v>
      </c>
      <c r="B4" s="4">
        <v>5917.15</v>
      </c>
      <c r="C4" s="6">
        <v>9.2999999999999999E-2</v>
      </c>
      <c r="D4" s="6">
        <v>9.0999999999999998E-2</v>
      </c>
      <c r="E4" s="5">
        <v>142525.4</v>
      </c>
      <c r="F4" s="4">
        <v>64.5</v>
      </c>
      <c r="G4" s="14">
        <v>0.3</v>
      </c>
      <c r="H4" s="11">
        <v>0.56299999999999994</v>
      </c>
      <c r="I4">
        <f t="shared" ref="I4:I67" si="0">I3+I3*$I$1</f>
        <v>1.2544000000000002</v>
      </c>
    </row>
    <row r="5" spans="1:9" ht="15" x14ac:dyDescent="0.25">
      <c r="A5" s="1" t="s">
        <v>55</v>
      </c>
      <c r="B5" s="4">
        <v>448.95</v>
      </c>
      <c r="C5" s="6">
        <v>8.7999999999999995E-2</v>
      </c>
      <c r="D5" s="6">
        <v>0.129</v>
      </c>
      <c r="E5" s="5">
        <v>189695.7</v>
      </c>
      <c r="F5" s="4">
        <v>18.5</v>
      </c>
      <c r="G5" s="4">
        <v>0.8</v>
      </c>
      <c r="H5" s="11">
        <v>0.52600000000000002</v>
      </c>
      <c r="I5">
        <f t="shared" si="0"/>
        <v>1.4049280000000002</v>
      </c>
    </row>
    <row r="6" spans="1:9" ht="15" x14ac:dyDescent="0.25">
      <c r="A6" s="1" t="s">
        <v>76</v>
      </c>
      <c r="B6" s="4">
        <v>2900.1</v>
      </c>
      <c r="C6" s="6">
        <v>8.5000000000000006E-2</v>
      </c>
      <c r="D6" s="6">
        <v>0.10199999999999999</v>
      </c>
      <c r="E6" s="5">
        <v>1049281.6000000001</v>
      </c>
      <c r="F6" s="4">
        <v>21.2</v>
      </c>
      <c r="G6" s="14">
        <v>0</v>
      </c>
      <c r="H6" s="11">
        <v>0.46</v>
      </c>
      <c r="I6">
        <f t="shared" si="0"/>
        <v>1.5735193600000001</v>
      </c>
    </row>
    <row r="7" spans="1:9" ht="15" x14ac:dyDescent="0.25">
      <c r="A7" s="1" t="s">
        <v>84</v>
      </c>
      <c r="B7" s="4">
        <v>389.05</v>
      </c>
      <c r="C7" s="6">
        <v>0.16200000000000001</v>
      </c>
      <c r="D7" s="6">
        <v>9.4E-2</v>
      </c>
      <c r="E7" s="5">
        <v>239760.9</v>
      </c>
      <c r="F7" s="14">
        <v>7.4</v>
      </c>
      <c r="G7" s="14">
        <v>0.1</v>
      </c>
      <c r="H7" s="11">
        <v>0.41599999999999998</v>
      </c>
      <c r="I7">
        <f t="shared" si="0"/>
        <v>1.7623416832000001</v>
      </c>
    </row>
    <row r="8" spans="1:9" ht="15" x14ac:dyDescent="0.25">
      <c r="A8" s="1" t="s">
        <v>59</v>
      </c>
      <c r="B8" s="4">
        <v>447.9</v>
      </c>
      <c r="C8" s="12" t="s">
        <v>10</v>
      </c>
      <c r="D8" s="6">
        <v>0.126</v>
      </c>
      <c r="E8" s="5">
        <v>175146.3</v>
      </c>
      <c r="F8" s="4">
        <v>8.8000000000000007</v>
      </c>
      <c r="G8" s="4">
        <v>2.2000000000000002</v>
      </c>
      <c r="H8" s="11">
        <v>0.34499999999999997</v>
      </c>
      <c r="I8">
        <f t="shared" si="0"/>
        <v>1.9738226851839999</v>
      </c>
    </row>
    <row r="9" spans="1:9" ht="15" x14ac:dyDescent="0.25">
      <c r="A9" s="1" t="s">
        <v>51</v>
      </c>
      <c r="B9" s="4">
        <v>739.2</v>
      </c>
      <c r="C9" s="12" t="s">
        <v>10</v>
      </c>
      <c r="D9" s="6">
        <v>0.14199999999999999</v>
      </c>
      <c r="E9" s="5">
        <v>116401.60000000001</v>
      </c>
      <c r="F9" s="4">
        <v>116.6</v>
      </c>
      <c r="G9" s="14">
        <v>0</v>
      </c>
      <c r="H9" s="11">
        <v>0.32700000000000001</v>
      </c>
      <c r="I9">
        <f t="shared" si="0"/>
        <v>2.2106814074060801</v>
      </c>
    </row>
    <row r="10" spans="1:9" ht="15" x14ac:dyDescent="0.25">
      <c r="A10" s="1" t="s">
        <v>61</v>
      </c>
      <c r="B10" s="4">
        <v>1448.6</v>
      </c>
      <c r="C10" s="6">
        <v>0.1</v>
      </c>
      <c r="D10" s="6">
        <v>0.124</v>
      </c>
      <c r="E10" s="5">
        <v>601806.6</v>
      </c>
      <c r="F10" s="4">
        <v>22</v>
      </c>
      <c r="G10" s="14">
        <v>0</v>
      </c>
      <c r="H10" s="11">
        <v>0.29199999999999998</v>
      </c>
      <c r="I10">
        <f t="shared" si="0"/>
        <v>2.4759631762948096</v>
      </c>
    </row>
    <row r="11" spans="1:9" ht="15" x14ac:dyDescent="0.25">
      <c r="A11" s="1" t="s">
        <v>81</v>
      </c>
      <c r="B11" s="4">
        <v>2637.3</v>
      </c>
      <c r="C11" s="6">
        <v>0.187</v>
      </c>
      <c r="D11" s="6">
        <v>9.8000000000000004E-2</v>
      </c>
      <c r="E11" s="5">
        <v>214291.5</v>
      </c>
      <c r="F11" s="4">
        <v>39.1</v>
      </c>
      <c r="G11" s="14">
        <v>0</v>
      </c>
      <c r="H11" s="11">
        <v>0.28899999999999998</v>
      </c>
      <c r="I11">
        <f t="shared" si="0"/>
        <v>2.7730787574501865</v>
      </c>
    </row>
    <row r="12" spans="1:9" ht="15" x14ac:dyDescent="0.25">
      <c r="A12" s="1" t="s">
        <v>37</v>
      </c>
      <c r="B12" s="4">
        <v>146.35</v>
      </c>
      <c r="C12" s="12" t="s">
        <v>10</v>
      </c>
      <c r="D12" s="6">
        <v>0.16300000000000001</v>
      </c>
      <c r="E12" s="5">
        <v>282231.5</v>
      </c>
      <c r="F12" s="4">
        <v>23.2</v>
      </c>
      <c r="G12" s="4">
        <v>0.7</v>
      </c>
      <c r="H12" s="11">
        <v>0.28599999999999998</v>
      </c>
      <c r="I12">
        <f t="shared" si="0"/>
        <v>3.1058482083442089</v>
      </c>
    </row>
    <row r="13" spans="1:9" ht="15" x14ac:dyDescent="0.25">
      <c r="A13" s="1" t="s">
        <v>64</v>
      </c>
      <c r="B13" s="4">
        <v>5622.5</v>
      </c>
      <c r="C13" s="6">
        <v>0.14299999999999999</v>
      </c>
      <c r="D13" s="6">
        <v>0.11799999999999999</v>
      </c>
      <c r="E13" s="5">
        <v>120323.6</v>
      </c>
      <c r="F13" s="4">
        <v>46.2</v>
      </c>
      <c r="G13" s="14">
        <v>0</v>
      </c>
      <c r="H13" s="11">
        <v>0.27200000000000002</v>
      </c>
      <c r="I13">
        <f t="shared" si="0"/>
        <v>3.478549993345514</v>
      </c>
    </row>
    <row r="14" spans="1:9" ht="15" x14ac:dyDescent="0.25">
      <c r="A14" s="1" t="s">
        <v>91</v>
      </c>
      <c r="B14" s="4">
        <v>405.05</v>
      </c>
      <c r="C14" s="6">
        <v>5.0999999999999997E-2</v>
      </c>
      <c r="D14" s="6">
        <v>7.8E-2</v>
      </c>
      <c r="E14" s="5">
        <v>507411.4</v>
      </c>
      <c r="F14" s="4">
        <v>25.1</v>
      </c>
      <c r="G14" s="14">
        <v>0</v>
      </c>
      <c r="H14" s="11">
        <v>0.26500000000000001</v>
      </c>
      <c r="I14">
        <f t="shared" si="0"/>
        <v>3.8959759925469757</v>
      </c>
    </row>
    <row r="15" spans="1:9" ht="15" x14ac:dyDescent="0.25">
      <c r="A15" s="10" t="s">
        <v>19</v>
      </c>
      <c r="B15" s="4">
        <v>3327.35</v>
      </c>
      <c r="C15" s="6">
        <v>0.17499999999999999</v>
      </c>
      <c r="D15" s="11">
        <v>0.23499999999999999</v>
      </c>
      <c r="E15" s="5">
        <v>295397.5</v>
      </c>
      <c r="F15" s="4">
        <v>79.599999999999994</v>
      </c>
      <c r="G15" s="4">
        <v>1.6</v>
      </c>
      <c r="H15" s="11">
        <v>0.26100000000000001</v>
      </c>
      <c r="I15">
        <f t="shared" si="0"/>
        <v>4.3634931116526126</v>
      </c>
    </row>
    <row r="16" spans="1:9" ht="15" x14ac:dyDescent="0.25">
      <c r="A16" s="10" t="s">
        <v>17</v>
      </c>
      <c r="B16" s="4">
        <v>13770.15</v>
      </c>
      <c r="C16" s="11">
        <v>0.35799999999999998</v>
      </c>
      <c r="D16" s="11">
        <v>0.27500000000000002</v>
      </c>
      <c r="E16" s="5">
        <v>124606.2</v>
      </c>
      <c r="F16" s="4">
        <v>93.2</v>
      </c>
      <c r="G16" s="14">
        <v>0.2</v>
      </c>
      <c r="H16" s="11">
        <v>0.25800000000000001</v>
      </c>
      <c r="I16">
        <f t="shared" si="0"/>
        <v>4.8871122850509261</v>
      </c>
    </row>
    <row r="17" spans="1:10" ht="15" x14ac:dyDescent="0.25">
      <c r="A17" s="10" t="s">
        <v>16</v>
      </c>
      <c r="B17" s="4">
        <v>5059.5</v>
      </c>
      <c r="C17" s="6">
        <v>0.248</v>
      </c>
      <c r="D17" s="11">
        <v>0.28399999999999997</v>
      </c>
      <c r="E17" s="5">
        <v>149972.1</v>
      </c>
      <c r="F17" s="4">
        <v>31.8</v>
      </c>
      <c r="G17" s="14">
        <v>0</v>
      </c>
      <c r="H17" s="6">
        <v>0.252</v>
      </c>
      <c r="I17">
        <f t="shared" si="0"/>
        <v>5.4735657592570375</v>
      </c>
    </row>
    <row r="18" spans="1:10" ht="15" x14ac:dyDescent="0.25">
      <c r="A18" s="10" t="s">
        <v>8</v>
      </c>
      <c r="B18" s="15">
        <v>17508.75</v>
      </c>
      <c r="C18" s="11">
        <v>0.59199999999999997</v>
      </c>
      <c r="D18" s="11">
        <v>0.54600000000000004</v>
      </c>
      <c r="E18" s="5">
        <v>105951.9</v>
      </c>
      <c r="F18" s="4">
        <v>78.099999999999994</v>
      </c>
      <c r="G18" s="14">
        <v>0.1</v>
      </c>
      <c r="H18" s="6">
        <v>0.252</v>
      </c>
      <c r="I18">
        <f t="shared" si="0"/>
        <v>6.130393650367882</v>
      </c>
    </row>
    <row r="19" spans="1:10" ht="15" x14ac:dyDescent="0.25">
      <c r="A19" s="1" t="s">
        <v>72</v>
      </c>
      <c r="B19" s="4">
        <v>2342.5</v>
      </c>
      <c r="C19" s="6">
        <v>0.06</v>
      </c>
      <c r="D19" s="6">
        <v>0.109</v>
      </c>
      <c r="E19" s="5">
        <v>224692.1</v>
      </c>
      <c r="F19" s="4">
        <v>64.2</v>
      </c>
      <c r="G19" s="14">
        <v>0</v>
      </c>
      <c r="H19" s="6">
        <v>0.245</v>
      </c>
      <c r="I19">
        <f t="shared" si="0"/>
        <v>6.8660408884120274</v>
      </c>
    </row>
    <row r="20" spans="1:10" ht="15" x14ac:dyDescent="0.25">
      <c r="A20" s="1" t="s">
        <v>94</v>
      </c>
      <c r="B20" s="4">
        <v>4735.3</v>
      </c>
      <c r="C20" s="6">
        <v>0.23699999999999999</v>
      </c>
      <c r="D20" s="6">
        <v>7.5999999999999998E-2</v>
      </c>
      <c r="E20" s="5">
        <v>316685</v>
      </c>
      <c r="F20" s="4">
        <v>38.299999999999997</v>
      </c>
      <c r="G20" s="14">
        <v>0</v>
      </c>
      <c r="H20" s="6">
        <v>0.24399999999999999</v>
      </c>
      <c r="I20">
        <f t="shared" si="0"/>
        <v>7.6899657950214708</v>
      </c>
      <c r="J20" s="16"/>
    </row>
    <row r="21" spans="1:10" ht="15" x14ac:dyDescent="0.25">
      <c r="A21" s="10" t="s">
        <v>14</v>
      </c>
      <c r="B21" s="4">
        <v>1046.3499999999999</v>
      </c>
      <c r="C21" s="12" t="s">
        <v>10</v>
      </c>
      <c r="D21" s="11">
        <v>0.34499999999999997</v>
      </c>
      <c r="E21" s="5">
        <v>172352.3</v>
      </c>
      <c r="F21" s="4">
        <v>95</v>
      </c>
      <c r="G21" s="4">
        <v>9.5</v>
      </c>
      <c r="H21" s="6">
        <v>0.24199999999999999</v>
      </c>
      <c r="I21">
        <f t="shared" si="0"/>
        <v>8.6127616904240476</v>
      </c>
      <c r="J21" s="16"/>
    </row>
    <row r="22" spans="1:10" ht="15" x14ac:dyDescent="0.25">
      <c r="A22" s="1" t="s">
        <v>27</v>
      </c>
      <c r="B22" s="4">
        <v>2003.05</v>
      </c>
      <c r="C22" s="6">
        <v>0.24</v>
      </c>
      <c r="D22" s="6">
        <v>0.19500000000000001</v>
      </c>
      <c r="E22" s="5">
        <v>320050</v>
      </c>
      <c r="F22" s="4">
        <v>17.2</v>
      </c>
      <c r="G22" s="4">
        <v>5</v>
      </c>
      <c r="H22" s="6">
        <v>0.23799999999999999</v>
      </c>
      <c r="I22">
        <f t="shared" si="0"/>
        <v>9.6462930932749327</v>
      </c>
      <c r="J22" s="16"/>
    </row>
    <row r="23" spans="1:10" ht="15" x14ac:dyDescent="0.25">
      <c r="A23" s="1" t="s">
        <v>74</v>
      </c>
      <c r="B23" s="4">
        <v>1395.2</v>
      </c>
      <c r="C23" s="6">
        <v>9.5000000000000001E-2</v>
      </c>
      <c r="D23" s="6">
        <v>0.106</v>
      </c>
      <c r="E23" s="5">
        <v>378610.6</v>
      </c>
      <c r="F23" s="4">
        <v>22.3</v>
      </c>
      <c r="G23" s="14">
        <v>0</v>
      </c>
      <c r="H23" s="6">
        <v>0.223</v>
      </c>
      <c r="I23">
        <f t="shared" si="0"/>
        <v>10.803848264467925</v>
      </c>
      <c r="J23" s="16"/>
    </row>
    <row r="24" spans="1:10" ht="15" x14ac:dyDescent="0.25">
      <c r="A24" s="1" t="s">
        <v>82</v>
      </c>
      <c r="B24" s="4">
        <v>324.39999999999998</v>
      </c>
      <c r="C24" s="11">
        <v>0.29499999999999998</v>
      </c>
      <c r="D24" s="6">
        <v>9.7000000000000003E-2</v>
      </c>
      <c r="E24" s="5">
        <v>140739.9</v>
      </c>
      <c r="F24" s="4">
        <v>9.1999999999999993</v>
      </c>
      <c r="G24" s="4">
        <v>0.6</v>
      </c>
      <c r="H24" s="6">
        <v>0.223</v>
      </c>
      <c r="I24">
        <f t="shared" si="0"/>
        <v>12.100310056204076</v>
      </c>
    </row>
    <row r="25" spans="1:10" ht="15" x14ac:dyDescent="0.25">
      <c r="A25" s="1" t="s">
        <v>29</v>
      </c>
      <c r="B25" s="4">
        <v>3413.2</v>
      </c>
      <c r="C25" s="11">
        <v>0.29399999999999998</v>
      </c>
      <c r="D25" s="6">
        <v>0.185</v>
      </c>
      <c r="E25" s="5">
        <v>162156.70000000001</v>
      </c>
      <c r="F25" s="4">
        <v>62.5</v>
      </c>
      <c r="G25" s="4">
        <v>3.2</v>
      </c>
      <c r="H25" s="6">
        <v>0.22</v>
      </c>
      <c r="I25">
        <f t="shared" si="0"/>
        <v>13.552347262948565</v>
      </c>
    </row>
    <row r="26" spans="1:10" ht="15" x14ac:dyDescent="0.25">
      <c r="A26" s="1" t="s">
        <v>56</v>
      </c>
      <c r="B26" s="4">
        <v>395.9</v>
      </c>
      <c r="C26" s="6">
        <v>0.24199999999999999</v>
      </c>
      <c r="D26" s="6">
        <v>0.129</v>
      </c>
      <c r="E26" s="5">
        <v>289394.09999999998</v>
      </c>
      <c r="F26" s="4">
        <v>52.9</v>
      </c>
      <c r="G26" s="14">
        <v>0</v>
      </c>
      <c r="H26" s="6">
        <v>0.219</v>
      </c>
      <c r="I26">
        <f t="shared" si="0"/>
        <v>15.178628934502393</v>
      </c>
    </row>
    <row r="27" spans="1:10" ht="15" x14ac:dyDescent="0.25">
      <c r="A27" s="1" t="s">
        <v>30</v>
      </c>
      <c r="B27" s="4">
        <v>2829.25</v>
      </c>
      <c r="C27" s="11">
        <v>0.433</v>
      </c>
      <c r="D27" s="6">
        <v>0.184</v>
      </c>
      <c r="E27" s="5">
        <v>114126.3</v>
      </c>
      <c r="F27" s="4">
        <v>56.2</v>
      </c>
      <c r="G27" s="14">
        <v>0</v>
      </c>
      <c r="H27" s="6">
        <v>0.215</v>
      </c>
      <c r="I27">
        <f t="shared" si="0"/>
        <v>17.000064406642682</v>
      </c>
    </row>
    <row r="28" spans="1:10" ht="15" x14ac:dyDescent="0.25">
      <c r="A28" s="1" t="s">
        <v>69</v>
      </c>
      <c r="B28" s="4">
        <v>8707.9</v>
      </c>
      <c r="C28" s="6">
        <v>7.0000000000000007E-2</v>
      </c>
      <c r="D28" s="6">
        <v>0.113</v>
      </c>
      <c r="E28" s="5">
        <v>243174.7</v>
      </c>
      <c r="F28" s="4">
        <v>28.6</v>
      </c>
      <c r="G28" s="14">
        <v>0.3</v>
      </c>
      <c r="H28" s="6">
        <v>0.214</v>
      </c>
      <c r="I28">
        <f t="shared" si="0"/>
        <v>19.040072135439804</v>
      </c>
    </row>
    <row r="29" spans="1:10" ht="15" x14ac:dyDescent="0.25">
      <c r="A29" s="1" t="s">
        <v>46</v>
      </c>
      <c r="B29" s="4">
        <v>3948.1</v>
      </c>
      <c r="C29" s="6">
        <v>0.23200000000000001</v>
      </c>
      <c r="D29" s="6">
        <v>0.14899999999999999</v>
      </c>
      <c r="E29" s="5">
        <v>109441.3</v>
      </c>
      <c r="F29" s="4">
        <v>58.3</v>
      </c>
      <c r="G29" s="14">
        <v>0</v>
      </c>
      <c r="H29" s="6">
        <v>0.21099999999999999</v>
      </c>
      <c r="I29">
        <f t="shared" si="0"/>
        <v>21.324880791692578</v>
      </c>
    </row>
    <row r="30" spans="1:10" ht="15" x14ac:dyDescent="0.25">
      <c r="A30" s="10" t="s">
        <v>20</v>
      </c>
      <c r="B30" s="4">
        <v>444.65</v>
      </c>
      <c r="C30" s="11">
        <v>0.41</v>
      </c>
      <c r="D30" s="11">
        <v>0.22800000000000001</v>
      </c>
      <c r="E30" s="5">
        <v>150378.9</v>
      </c>
      <c r="F30" s="4">
        <v>52.1</v>
      </c>
      <c r="G30" s="14">
        <v>0.1</v>
      </c>
      <c r="H30" s="6">
        <v>0.21</v>
      </c>
      <c r="I30">
        <f t="shared" si="0"/>
        <v>23.883866486695688</v>
      </c>
    </row>
    <row r="31" spans="1:10" ht="15" x14ac:dyDescent="0.25">
      <c r="A31" s="1" t="s">
        <v>92</v>
      </c>
      <c r="B31" s="4">
        <v>3563.5</v>
      </c>
      <c r="C31" s="6">
        <v>0.13300000000000001</v>
      </c>
      <c r="D31" s="6">
        <v>7.6999999999999999E-2</v>
      </c>
      <c r="E31" s="5">
        <v>120605</v>
      </c>
      <c r="F31" s="4">
        <v>60.2</v>
      </c>
      <c r="G31" s="4">
        <v>0.4</v>
      </c>
      <c r="H31" s="6">
        <v>0.20799999999999999</v>
      </c>
      <c r="I31">
        <f t="shared" si="0"/>
        <v>26.749930465099169</v>
      </c>
    </row>
    <row r="32" spans="1:10" ht="15" x14ac:dyDescent="0.25">
      <c r="A32" s="1" t="s">
        <v>60</v>
      </c>
      <c r="B32" s="4">
        <v>1475.55</v>
      </c>
      <c r="C32" s="6">
        <v>0.13300000000000001</v>
      </c>
      <c r="D32" s="6">
        <v>0.125</v>
      </c>
      <c r="E32" s="5">
        <v>150168.79999999999</v>
      </c>
      <c r="F32" s="4">
        <v>68.099999999999994</v>
      </c>
      <c r="G32" s="14">
        <v>0</v>
      </c>
      <c r="H32" s="6">
        <v>0.19900000000000001</v>
      </c>
      <c r="I32">
        <f t="shared" si="0"/>
        <v>29.95992212091107</v>
      </c>
    </row>
    <row r="33" spans="1:9" ht="15" x14ac:dyDescent="0.25">
      <c r="A33" s="1" t="s">
        <v>39</v>
      </c>
      <c r="B33" s="4">
        <v>3015.2</v>
      </c>
      <c r="C33" s="6">
        <v>0.112</v>
      </c>
      <c r="D33" s="6">
        <v>0.159</v>
      </c>
      <c r="E33" s="5">
        <v>121050.8</v>
      </c>
      <c r="F33" s="4">
        <v>19.7</v>
      </c>
      <c r="G33" s="4">
        <v>3.4</v>
      </c>
      <c r="H33" s="6">
        <v>0.19600000000000001</v>
      </c>
      <c r="I33">
        <f t="shared" si="0"/>
        <v>33.555112775420397</v>
      </c>
    </row>
    <row r="34" spans="1:9" ht="15" x14ac:dyDescent="0.25">
      <c r="A34" s="1" t="s">
        <v>68</v>
      </c>
      <c r="B34" s="4">
        <v>397.4</v>
      </c>
      <c r="C34" s="11">
        <v>0.26400000000000001</v>
      </c>
      <c r="D34" s="6">
        <v>0.114</v>
      </c>
      <c r="E34" s="5">
        <v>131146</v>
      </c>
      <c r="F34" s="14">
        <v>4.0999999999999996</v>
      </c>
      <c r="G34" s="4">
        <v>8.3000000000000007</v>
      </c>
      <c r="H34" s="6">
        <v>0.19400000000000001</v>
      </c>
      <c r="I34">
        <f t="shared" si="0"/>
        <v>37.581726308470849</v>
      </c>
    </row>
    <row r="35" spans="1:9" ht="15" x14ac:dyDescent="0.25">
      <c r="A35" s="1" t="s">
        <v>83</v>
      </c>
      <c r="B35" s="4">
        <v>2510.85</v>
      </c>
      <c r="C35" s="6">
        <v>9.6000000000000002E-2</v>
      </c>
      <c r="D35" s="6">
        <v>9.7000000000000003E-2</v>
      </c>
      <c r="E35" s="5">
        <v>589947.1</v>
      </c>
      <c r="F35" s="4">
        <v>54.5</v>
      </c>
      <c r="G35" s="14">
        <v>0</v>
      </c>
      <c r="H35" s="6">
        <v>0.193</v>
      </c>
      <c r="I35">
        <f t="shared" si="0"/>
        <v>42.091533465487352</v>
      </c>
    </row>
    <row r="36" spans="1:9" ht="15" x14ac:dyDescent="0.25">
      <c r="A36" s="10" t="s">
        <v>24</v>
      </c>
      <c r="B36" s="4">
        <v>7313.3</v>
      </c>
      <c r="C36" s="6">
        <v>0.217</v>
      </c>
      <c r="D36" s="11">
        <v>0.20499999999999999</v>
      </c>
      <c r="E36" s="5">
        <v>110088.7</v>
      </c>
      <c r="F36" s="4">
        <v>49.1</v>
      </c>
      <c r="G36" s="14">
        <v>0</v>
      </c>
      <c r="H36" s="6">
        <v>0.192</v>
      </c>
      <c r="I36">
        <f t="shared" si="0"/>
        <v>47.142517481345834</v>
      </c>
    </row>
    <row r="37" spans="1:9" ht="15" x14ac:dyDescent="0.25">
      <c r="A37" s="1" t="s">
        <v>97</v>
      </c>
      <c r="B37" s="4">
        <v>5326.1</v>
      </c>
      <c r="C37" s="6">
        <v>3.5999999999999997E-2</v>
      </c>
      <c r="D37" s="6">
        <v>6.9000000000000006E-2</v>
      </c>
      <c r="E37" s="5">
        <v>106558.1</v>
      </c>
      <c r="F37" s="4">
        <v>23.5</v>
      </c>
      <c r="G37" s="14">
        <v>0</v>
      </c>
      <c r="H37" s="6">
        <v>0.189</v>
      </c>
      <c r="I37">
        <f t="shared" si="0"/>
        <v>52.799619579107336</v>
      </c>
    </row>
    <row r="38" spans="1:9" ht="15" x14ac:dyDescent="0.25">
      <c r="A38" s="1" t="s">
        <v>100</v>
      </c>
      <c r="B38" s="4">
        <v>282.10000000000002</v>
      </c>
      <c r="C38" s="6">
        <v>7.0000000000000007E-2</v>
      </c>
      <c r="D38" s="6">
        <v>3.9E-2</v>
      </c>
      <c r="E38" s="5">
        <v>262370</v>
      </c>
      <c r="F38" s="4">
        <v>17.399999999999999</v>
      </c>
      <c r="G38" s="4">
        <v>1.4</v>
      </c>
      <c r="H38" s="6">
        <v>0.185</v>
      </c>
      <c r="I38">
        <f t="shared" si="0"/>
        <v>59.135573928600216</v>
      </c>
    </row>
    <row r="39" spans="1:9" ht="15" x14ac:dyDescent="0.25">
      <c r="A39" s="1" t="s">
        <v>41</v>
      </c>
      <c r="B39" s="4">
        <v>7047.8</v>
      </c>
      <c r="C39" s="6">
        <v>0.21</v>
      </c>
      <c r="D39" s="6">
        <v>0.156</v>
      </c>
      <c r="E39" s="5">
        <v>193305.60000000001</v>
      </c>
      <c r="F39" s="4">
        <v>46.5</v>
      </c>
      <c r="G39" s="14">
        <v>0</v>
      </c>
      <c r="H39" s="6">
        <v>0.17899999999999999</v>
      </c>
      <c r="I39">
        <f t="shared" si="0"/>
        <v>66.23184280003224</v>
      </c>
    </row>
    <row r="40" spans="1:9" ht="15" x14ac:dyDescent="0.25">
      <c r="A40" s="10" t="s">
        <v>18</v>
      </c>
      <c r="B40" s="4">
        <v>1569.4</v>
      </c>
      <c r="C40" s="11">
        <v>0.32300000000000001</v>
      </c>
      <c r="D40" s="11">
        <v>0.24299999999999999</v>
      </c>
      <c r="E40" s="5">
        <v>132049.20000000001</v>
      </c>
      <c r="F40" s="4">
        <v>29.7</v>
      </c>
      <c r="G40" s="4">
        <v>7.5</v>
      </c>
      <c r="H40" s="6">
        <v>0.17699999999999999</v>
      </c>
      <c r="I40">
        <f t="shared" si="0"/>
        <v>74.179663936036107</v>
      </c>
    </row>
    <row r="41" spans="1:9" ht="15" x14ac:dyDescent="0.25">
      <c r="A41" s="1" t="s">
        <v>73</v>
      </c>
      <c r="B41" s="4">
        <v>5176.8500000000004</v>
      </c>
      <c r="C41" s="11">
        <v>0.441</v>
      </c>
      <c r="D41" s="6">
        <v>0.108</v>
      </c>
      <c r="E41" s="5">
        <v>109701.8</v>
      </c>
      <c r="F41" s="4">
        <v>61</v>
      </c>
      <c r="G41" s="14">
        <v>0</v>
      </c>
      <c r="H41" s="6">
        <v>0.17599999999999999</v>
      </c>
      <c r="I41">
        <f t="shared" si="0"/>
        <v>83.081223608360432</v>
      </c>
    </row>
    <row r="42" spans="1:9" ht="15" x14ac:dyDescent="0.25">
      <c r="A42" s="1" t="s">
        <v>66</v>
      </c>
      <c r="B42" s="4">
        <v>5690.3</v>
      </c>
      <c r="C42" s="6">
        <v>9.7000000000000003E-2</v>
      </c>
      <c r="D42" s="6">
        <v>0.11700000000000001</v>
      </c>
      <c r="E42" s="5">
        <v>151059.6</v>
      </c>
      <c r="F42" s="4">
        <v>65.5</v>
      </c>
      <c r="G42" s="14">
        <v>0</v>
      </c>
      <c r="H42" s="6">
        <v>0.17499999999999999</v>
      </c>
      <c r="I42">
        <f t="shared" si="0"/>
        <v>93.050970441363688</v>
      </c>
    </row>
    <row r="43" spans="1:9" ht="15" x14ac:dyDescent="0.25">
      <c r="A43" s="10" t="s">
        <v>23</v>
      </c>
      <c r="B43" s="4">
        <v>985</v>
      </c>
      <c r="C43" s="11">
        <v>0.25900000000000001</v>
      </c>
      <c r="D43" s="11">
        <v>0.215</v>
      </c>
      <c r="E43" s="5">
        <v>612914.5</v>
      </c>
      <c r="F43" s="4">
        <v>34.799999999999997</v>
      </c>
      <c r="G43" s="4">
        <v>3.8</v>
      </c>
      <c r="H43" s="6">
        <v>0.17199999999999999</v>
      </c>
      <c r="I43">
        <f t="shared" si="0"/>
        <v>104.21708689432734</v>
      </c>
    </row>
    <row r="44" spans="1:9" ht="15" x14ac:dyDescent="0.25">
      <c r="A44" s="1" t="s">
        <v>90</v>
      </c>
      <c r="B44" s="4">
        <v>235.65</v>
      </c>
      <c r="C44" s="6">
        <v>6.2E-2</v>
      </c>
      <c r="D44" s="6">
        <v>7.8E-2</v>
      </c>
      <c r="E44" s="5">
        <v>247050.1</v>
      </c>
      <c r="F44" s="4">
        <v>18.3</v>
      </c>
      <c r="G44" s="14">
        <v>0.2</v>
      </c>
      <c r="H44" s="6">
        <v>0.16900000000000001</v>
      </c>
      <c r="I44">
        <f t="shared" si="0"/>
        <v>116.72313732164662</v>
      </c>
    </row>
    <row r="45" spans="1:9" ht="15" x14ac:dyDescent="0.25">
      <c r="A45" s="1" t="s">
        <v>95</v>
      </c>
      <c r="B45" s="4">
        <v>1407.5</v>
      </c>
      <c r="C45" s="6">
        <v>1.7999999999999999E-2</v>
      </c>
      <c r="D45" s="6">
        <v>7.4999999999999997E-2</v>
      </c>
      <c r="E45" s="5">
        <v>137873.4</v>
      </c>
      <c r="F45" s="4">
        <v>30.6</v>
      </c>
      <c r="G45" s="14">
        <v>0</v>
      </c>
      <c r="H45" s="6">
        <v>0.16300000000000001</v>
      </c>
      <c r="I45">
        <f t="shared" si="0"/>
        <v>130.72991380024422</v>
      </c>
    </row>
    <row r="46" spans="1:9" ht="15" x14ac:dyDescent="0.25">
      <c r="A46" s="1" t="s">
        <v>38</v>
      </c>
      <c r="B46" s="4">
        <v>3397.15</v>
      </c>
      <c r="C46" s="11">
        <v>0.39</v>
      </c>
      <c r="D46" s="6">
        <v>0.161</v>
      </c>
      <c r="E46" s="5">
        <v>422445.4</v>
      </c>
      <c r="F46" s="4">
        <v>32</v>
      </c>
      <c r="G46" s="4">
        <v>1.6</v>
      </c>
      <c r="H46" s="6">
        <v>0.16300000000000001</v>
      </c>
      <c r="I46">
        <f t="shared" si="0"/>
        <v>146.41750345627352</v>
      </c>
    </row>
    <row r="47" spans="1:9" ht="15" x14ac:dyDescent="0.25">
      <c r="A47" s="10" t="s">
        <v>13</v>
      </c>
      <c r="B47" s="4">
        <v>4681.3500000000004</v>
      </c>
      <c r="C47" s="11">
        <v>0.70699999999999996</v>
      </c>
      <c r="D47" s="11">
        <v>0.379</v>
      </c>
      <c r="E47" s="5">
        <v>166416.1</v>
      </c>
      <c r="F47" s="4">
        <v>108.9</v>
      </c>
      <c r="G47" s="14">
        <v>0.1</v>
      </c>
      <c r="H47" s="6">
        <v>0.16200000000000001</v>
      </c>
      <c r="I47">
        <f t="shared" si="0"/>
        <v>163.98760387102635</v>
      </c>
    </row>
    <row r="48" spans="1:9" ht="15" x14ac:dyDescent="0.25">
      <c r="A48" s="1" t="s">
        <v>75</v>
      </c>
      <c r="B48" s="4">
        <v>145.05000000000001</v>
      </c>
      <c r="C48" s="12" t="s">
        <v>10</v>
      </c>
      <c r="D48" s="6">
        <v>0.105</v>
      </c>
      <c r="E48" s="5">
        <v>204828.6</v>
      </c>
      <c r="F48" s="4">
        <v>14.1</v>
      </c>
      <c r="G48" s="4">
        <v>0.8</v>
      </c>
      <c r="H48" s="6">
        <v>0.156</v>
      </c>
      <c r="I48">
        <f t="shared" si="0"/>
        <v>183.6661163355495</v>
      </c>
    </row>
    <row r="49" spans="1:9" ht="15" x14ac:dyDescent="0.25">
      <c r="A49" s="1" t="s">
        <v>36</v>
      </c>
      <c r="B49" s="4">
        <v>1360.75</v>
      </c>
      <c r="C49" s="11">
        <v>0.39800000000000002</v>
      </c>
      <c r="D49" s="6">
        <v>0.17</v>
      </c>
      <c r="E49" s="5">
        <v>972678.4</v>
      </c>
      <c r="F49" s="4">
        <v>17.2</v>
      </c>
      <c r="G49" s="4">
        <v>6</v>
      </c>
      <c r="H49" s="6">
        <v>0.15</v>
      </c>
      <c r="I49">
        <f t="shared" si="0"/>
        <v>205.70605029581543</v>
      </c>
    </row>
    <row r="50" spans="1:9" ht="15" x14ac:dyDescent="0.25">
      <c r="A50" s="10" t="s">
        <v>22</v>
      </c>
      <c r="B50" s="4">
        <v>1391.65</v>
      </c>
      <c r="C50" s="6">
        <v>0.23899999999999999</v>
      </c>
      <c r="D50" s="11">
        <v>0.217</v>
      </c>
      <c r="E50" s="5">
        <v>300615.7</v>
      </c>
      <c r="F50" s="4">
        <v>27.6</v>
      </c>
      <c r="G50" s="4">
        <v>0.7</v>
      </c>
      <c r="H50" s="6">
        <v>0.14899999999999999</v>
      </c>
      <c r="I50">
        <f t="shared" si="0"/>
        <v>230.39077633131328</v>
      </c>
    </row>
    <row r="51" spans="1:9" ht="15" x14ac:dyDescent="0.25">
      <c r="A51" s="10" t="s">
        <v>21</v>
      </c>
      <c r="B51" s="4">
        <v>945.15</v>
      </c>
      <c r="C51" s="6">
        <v>0.21</v>
      </c>
      <c r="D51" s="11">
        <v>0.22500000000000001</v>
      </c>
      <c r="E51" s="5">
        <v>1451783.3</v>
      </c>
      <c r="F51" s="4">
        <v>19.8</v>
      </c>
      <c r="G51" s="4">
        <v>6.5</v>
      </c>
      <c r="H51" s="6">
        <v>0.14899999999999999</v>
      </c>
      <c r="I51">
        <f t="shared" si="0"/>
        <v>258.03766949107086</v>
      </c>
    </row>
    <row r="52" spans="1:9" ht="15" x14ac:dyDescent="0.25">
      <c r="A52" s="1" t="s">
        <v>42</v>
      </c>
      <c r="B52" s="4">
        <v>1916.7</v>
      </c>
      <c r="C52" s="12" t="s">
        <v>10</v>
      </c>
      <c r="D52" s="6">
        <v>0.154</v>
      </c>
      <c r="E52" s="5">
        <v>1168112.3</v>
      </c>
      <c r="F52" s="4">
        <v>31.3</v>
      </c>
      <c r="G52" s="4">
        <v>1.3</v>
      </c>
      <c r="H52" s="6">
        <v>0.14399999999999999</v>
      </c>
      <c r="I52">
        <f t="shared" si="0"/>
        <v>289.00218982999934</v>
      </c>
    </row>
    <row r="53" spans="1:9" ht="15" x14ac:dyDescent="0.25">
      <c r="A53" s="1" t="s">
        <v>31</v>
      </c>
      <c r="B53" s="4">
        <v>1130.4000000000001</v>
      </c>
      <c r="C53" s="12" t="s">
        <v>10</v>
      </c>
      <c r="D53" s="6">
        <v>0.182</v>
      </c>
      <c r="E53" s="5">
        <v>276434.09999999998</v>
      </c>
      <c r="F53" s="4">
        <v>52.8</v>
      </c>
      <c r="G53" s="4">
        <v>1.2</v>
      </c>
      <c r="H53" s="6">
        <v>0.14199999999999999</v>
      </c>
      <c r="I53">
        <f t="shared" si="0"/>
        <v>323.68245260959924</v>
      </c>
    </row>
    <row r="54" spans="1:9" ht="15" x14ac:dyDescent="0.25">
      <c r="A54" s="1" t="s">
        <v>78</v>
      </c>
      <c r="B54" s="4">
        <v>1498.95</v>
      </c>
      <c r="C54" s="11">
        <v>0.27900000000000003</v>
      </c>
      <c r="D54" s="6">
        <v>0.1</v>
      </c>
      <c r="E54" s="5">
        <v>121080</v>
      </c>
      <c r="F54" s="4">
        <v>22.4</v>
      </c>
      <c r="G54" s="14">
        <v>0</v>
      </c>
      <c r="H54" s="6">
        <v>0.14000000000000001</v>
      </c>
      <c r="I54">
        <f t="shared" si="0"/>
        <v>362.52434692275114</v>
      </c>
    </row>
    <row r="55" spans="1:9" ht="15" x14ac:dyDescent="0.25">
      <c r="A55" s="1" t="s">
        <v>52</v>
      </c>
      <c r="B55" s="4">
        <v>7504.05</v>
      </c>
      <c r="C55" s="11">
        <v>0.28199999999999997</v>
      </c>
      <c r="D55" s="6">
        <v>0.14199999999999999</v>
      </c>
      <c r="E55" s="5">
        <v>107896.7</v>
      </c>
      <c r="F55" s="4">
        <v>67.599999999999994</v>
      </c>
      <c r="G55" s="4">
        <v>0.7</v>
      </c>
      <c r="H55" s="6">
        <v>0.14000000000000001</v>
      </c>
      <c r="I55">
        <f t="shared" si="0"/>
        <v>406.02726855348129</v>
      </c>
    </row>
    <row r="56" spans="1:9" ht="15" x14ac:dyDescent="0.25">
      <c r="A56" s="1" t="s">
        <v>63</v>
      </c>
      <c r="B56" s="4">
        <v>3731.1</v>
      </c>
      <c r="C56" s="6">
        <v>0.11700000000000001</v>
      </c>
      <c r="D56" s="6">
        <v>0.12</v>
      </c>
      <c r="E56" s="5">
        <v>513233.7</v>
      </c>
      <c r="F56" s="4">
        <v>27.6</v>
      </c>
      <c r="G56" s="4">
        <v>1.3</v>
      </c>
      <c r="H56" s="6">
        <v>0.13900000000000001</v>
      </c>
      <c r="I56">
        <f t="shared" si="0"/>
        <v>454.75054077989904</v>
      </c>
    </row>
    <row r="57" spans="1:9" ht="15" x14ac:dyDescent="0.25">
      <c r="A57" s="1" t="s">
        <v>85</v>
      </c>
      <c r="B57" s="4">
        <v>1029.5999999999999</v>
      </c>
      <c r="C57" s="12" t="s">
        <v>10</v>
      </c>
      <c r="D57" s="6">
        <v>9.2999999999999999E-2</v>
      </c>
      <c r="E57" s="5">
        <v>105028.3</v>
      </c>
      <c r="F57" s="4">
        <v>34.9</v>
      </c>
      <c r="G57" s="4">
        <v>0.4</v>
      </c>
      <c r="H57" s="6">
        <v>0.13700000000000001</v>
      </c>
      <c r="I57">
        <f t="shared" si="0"/>
        <v>509.32060567348691</v>
      </c>
    </row>
    <row r="58" spans="1:9" ht="15" x14ac:dyDescent="0.25">
      <c r="A58" s="1" t="s">
        <v>87</v>
      </c>
      <c r="B58" s="4">
        <v>238.1</v>
      </c>
      <c r="C58" s="11">
        <v>0.27300000000000002</v>
      </c>
      <c r="D58" s="6">
        <v>8.7999999999999995E-2</v>
      </c>
      <c r="E58" s="5">
        <v>299536.40000000002</v>
      </c>
      <c r="F58" s="14">
        <v>7.5</v>
      </c>
      <c r="G58" s="4">
        <v>0.4</v>
      </c>
      <c r="H58" s="6">
        <v>0.13600000000000001</v>
      </c>
      <c r="I58">
        <f t="shared" si="0"/>
        <v>570.43907835430537</v>
      </c>
    </row>
    <row r="59" spans="1:9" ht="15" x14ac:dyDescent="0.25">
      <c r="A59" s="1" t="s">
        <v>58</v>
      </c>
      <c r="B59" s="4">
        <v>857</v>
      </c>
      <c r="C59" s="11">
        <v>0.314</v>
      </c>
      <c r="D59" s="6">
        <v>0.127</v>
      </c>
      <c r="E59" s="5">
        <v>791063.9</v>
      </c>
      <c r="F59" s="4">
        <v>9.8000000000000007</v>
      </c>
      <c r="G59" s="4">
        <v>12.4</v>
      </c>
      <c r="H59" s="6">
        <v>0.13500000000000001</v>
      </c>
      <c r="I59">
        <f t="shared" si="0"/>
        <v>638.89176775682199</v>
      </c>
    </row>
    <row r="60" spans="1:9" ht="15" x14ac:dyDescent="0.25">
      <c r="A60" s="1" t="s">
        <v>50</v>
      </c>
      <c r="B60" s="4">
        <v>171.95</v>
      </c>
      <c r="C60" s="6">
        <v>5.6000000000000001E-2</v>
      </c>
      <c r="D60" s="6">
        <v>0.14299999999999999</v>
      </c>
      <c r="E60" s="5">
        <v>113058.8</v>
      </c>
      <c r="F60" s="4">
        <v>11.1</v>
      </c>
      <c r="G60" s="14">
        <v>0.2</v>
      </c>
      <c r="H60" s="6">
        <v>0.13400000000000001</v>
      </c>
      <c r="I60">
        <f t="shared" si="0"/>
        <v>715.55877988764064</v>
      </c>
    </row>
    <row r="61" spans="1:9" ht="15" x14ac:dyDescent="0.25">
      <c r="A61" s="10" t="s">
        <v>25</v>
      </c>
      <c r="B61" s="4">
        <v>605.75</v>
      </c>
      <c r="C61" s="11">
        <v>0.30199999999999999</v>
      </c>
      <c r="D61" s="11">
        <v>0.20399999999999999</v>
      </c>
      <c r="E61" s="5">
        <v>113942.1</v>
      </c>
      <c r="F61" s="4">
        <v>11.9</v>
      </c>
      <c r="G61" s="4">
        <v>4.2</v>
      </c>
      <c r="H61" s="6">
        <v>0.13400000000000001</v>
      </c>
      <c r="I61">
        <f t="shared" si="0"/>
        <v>801.42583347415757</v>
      </c>
    </row>
    <row r="62" spans="1:9" ht="15" x14ac:dyDescent="0.25">
      <c r="A62" s="1" t="s">
        <v>43</v>
      </c>
      <c r="B62" s="4">
        <v>121.9</v>
      </c>
      <c r="C62" s="6">
        <v>0.153</v>
      </c>
      <c r="D62" s="6">
        <v>0.151</v>
      </c>
      <c r="E62" s="5">
        <v>159305.1</v>
      </c>
      <c r="F62" s="4">
        <v>23.9</v>
      </c>
      <c r="G62" s="4">
        <v>7.8</v>
      </c>
      <c r="H62" s="6">
        <v>0.13300000000000001</v>
      </c>
      <c r="I62">
        <f t="shared" si="0"/>
        <v>897.59693349105646</v>
      </c>
    </row>
    <row r="63" spans="1:9" ht="15" x14ac:dyDescent="0.25">
      <c r="A63" s="1" t="s">
        <v>49</v>
      </c>
      <c r="B63" s="4">
        <v>1994.4</v>
      </c>
      <c r="C63" s="6">
        <v>0.20799999999999999</v>
      </c>
      <c r="D63" s="6">
        <v>0.14399999999999999</v>
      </c>
      <c r="E63" s="5">
        <v>396604.9</v>
      </c>
      <c r="F63" s="4">
        <v>20.9</v>
      </c>
      <c r="G63" s="4">
        <v>3.8</v>
      </c>
      <c r="H63" s="6">
        <v>0.13100000000000001</v>
      </c>
      <c r="I63">
        <f t="shared" si="0"/>
        <v>1005.3085655099833</v>
      </c>
    </row>
    <row r="64" spans="1:9" ht="15" x14ac:dyDescent="0.25">
      <c r="A64" s="1" t="s">
        <v>54</v>
      </c>
      <c r="B64" s="4">
        <v>38160.65</v>
      </c>
      <c r="C64" s="11">
        <v>0.28100000000000003</v>
      </c>
      <c r="D64" s="6">
        <v>0.129</v>
      </c>
      <c r="E64" s="5">
        <v>112549.6</v>
      </c>
      <c r="F64" s="4">
        <v>42.3</v>
      </c>
      <c r="G64" s="14">
        <v>0</v>
      </c>
      <c r="H64" s="6">
        <v>0.129</v>
      </c>
      <c r="I64">
        <f t="shared" si="0"/>
        <v>1125.9455933711813</v>
      </c>
    </row>
    <row r="65" spans="1:9" ht="15" x14ac:dyDescent="0.25">
      <c r="A65" s="1" t="s">
        <v>71</v>
      </c>
      <c r="B65" s="4">
        <v>673</v>
      </c>
      <c r="C65" s="12" t="s">
        <v>10</v>
      </c>
      <c r="D65" s="6">
        <v>0.11</v>
      </c>
      <c r="E65" s="5">
        <v>247817.1</v>
      </c>
      <c r="F65" s="4">
        <v>11.6</v>
      </c>
      <c r="G65" s="4">
        <v>0.5</v>
      </c>
      <c r="H65" s="6">
        <v>0.129</v>
      </c>
      <c r="I65">
        <f t="shared" si="0"/>
        <v>1261.0590645757231</v>
      </c>
    </row>
    <row r="66" spans="1:9" ht="15" x14ac:dyDescent="0.25">
      <c r="A66" s="1" t="s">
        <v>40</v>
      </c>
      <c r="B66" s="4">
        <v>879.25</v>
      </c>
      <c r="C66" s="6">
        <v>5.5E-2</v>
      </c>
      <c r="D66" s="6">
        <v>0.158</v>
      </c>
      <c r="E66" s="5">
        <v>105622.8</v>
      </c>
      <c r="F66" s="4">
        <v>40.200000000000003</v>
      </c>
      <c r="G66" s="4">
        <v>1.8</v>
      </c>
      <c r="H66" s="6">
        <v>0.127</v>
      </c>
      <c r="I66">
        <f t="shared" si="0"/>
        <v>1412.3861523248099</v>
      </c>
    </row>
    <row r="67" spans="1:9" ht="15" x14ac:dyDescent="0.25">
      <c r="A67" s="1" t="s">
        <v>67</v>
      </c>
      <c r="B67" s="4">
        <v>337.9</v>
      </c>
      <c r="C67" s="6">
        <v>0.15</v>
      </c>
      <c r="D67" s="6">
        <v>0.115</v>
      </c>
      <c r="E67" s="5">
        <v>327650.3</v>
      </c>
      <c r="F67" s="4">
        <v>20.100000000000001</v>
      </c>
      <c r="G67" s="4">
        <v>1.3</v>
      </c>
      <c r="H67" s="6">
        <v>0.125</v>
      </c>
      <c r="I67">
        <f t="shared" si="0"/>
        <v>1581.8724906037871</v>
      </c>
    </row>
    <row r="68" spans="1:9" ht="15" x14ac:dyDescent="0.25">
      <c r="A68" s="1" t="s">
        <v>70</v>
      </c>
      <c r="B68" s="4">
        <v>3097.05</v>
      </c>
      <c r="C68" s="6">
        <v>0.191</v>
      </c>
      <c r="D68" s="6">
        <v>0.112</v>
      </c>
      <c r="E68" s="5">
        <v>110292.2</v>
      </c>
      <c r="F68" s="4">
        <v>54.2</v>
      </c>
      <c r="G68" s="14">
        <v>0</v>
      </c>
      <c r="H68" s="6">
        <v>0.123</v>
      </c>
      <c r="I68">
        <f t="shared" ref="I68:I94" si="1">I67+I67*$I$1</f>
        <v>1771.6971894762416</v>
      </c>
    </row>
    <row r="69" spans="1:9" ht="15" x14ac:dyDescent="0.25">
      <c r="A69" s="1" t="s">
        <v>93</v>
      </c>
      <c r="B69" s="4">
        <v>1162.7</v>
      </c>
      <c r="C69" s="6">
        <v>4.3999999999999997E-2</v>
      </c>
      <c r="D69" s="6">
        <v>7.6999999999999999E-2</v>
      </c>
      <c r="E69" s="5">
        <v>118952.9</v>
      </c>
      <c r="F69" s="4">
        <v>64.2</v>
      </c>
      <c r="G69" s="14">
        <v>0.3</v>
      </c>
      <c r="H69" s="6">
        <v>0.123</v>
      </c>
      <c r="I69">
        <f t="shared" si="1"/>
        <v>1984.3008522133907</v>
      </c>
    </row>
    <row r="70" spans="1:9" ht="15" x14ac:dyDescent="0.25">
      <c r="A70" s="1" t="s">
        <v>28</v>
      </c>
      <c r="B70" s="4">
        <v>4518.05</v>
      </c>
      <c r="C70" s="6">
        <v>0.158</v>
      </c>
      <c r="D70" s="6">
        <v>0.189</v>
      </c>
      <c r="E70" s="5">
        <v>294004.5</v>
      </c>
      <c r="F70" s="4">
        <v>108.6</v>
      </c>
      <c r="G70" s="14">
        <v>0</v>
      </c>
      <c r="H70" s="6">
        <v>0.122</v>
      </c>
      <c r="I70">
        <f t="shared" si="1"/>
        <v>2222.4169544789975</v>
      </c>
    </row>
    <row r="71" spans="1:9" ht="15" x14ac:dyDescent="0.25">
      <c r="A71" s="1" t="s">
        <v>26</v>
      </c>
      <c r="B71" s="4">
        <v>118.1</v>
      </c>
      <c r="C71" s="12" t="s">
        <v>10</v>
      </c>
      <c r="D71" s="6">
        <v>0.19600000000000001</v>
      </c>
      <c r="E71" s="5">
        <v>107124.4</v>
      </c>
      <c r="F71" s="14">
        <v>5.9</v>
      </c>
      <c r="G71" s="4">
        <v>14.7</v>
      </c>
      <c r="H71" s="6">
        <v>0.122</v>
      </c>
      <c r="I71">
        <f t="shared" si="1"/>
        <v>2489.1069890164772</v>
      </c>
    </row>
    <row r="72" spans="1:9" ht="15" x14ac:dyDescent="0.25">
      <c r="A72" s="1" t="s">
        <v>45</v>
      </c>
      <c r="B72" s="4">
        <v>743.7</v>
      </c>
      <c r="C72" s="11">
        <v>0.33600000000000002</v>
      </c>
      <c r="D72" s="6">
        <v>0.151</v>
      </c>
      <c r="E72" s="5">
        <v>167126.20000000001</v>
      </c>
      <c r="F72" s="4">
        <v>9.9</v>
      </c>
      <c r="G72" s="4">
        <v>0.5</v>
      </c>
      <c r="H72" s="6">
        <v>0.11799999999999999</v>
      </c>
      <c r="I72">
        <f t="shared" si="1"/>
        <v>2787.7998276984545</v>
      </c>
    </row>
    <row r="73" spans="1:9" ht="15" x14ac:dyDescent="0.25">
      <c r="A73" s="1" t="s">
        <v>89</v>
      </c>
      <c r="B73" s="4">
        <v>167.45</v>
      </c>
      <c r="C73" s="6">
        <v>0.22</v>
      </c>
      <c r="D73" s="6">
        <v>0.08</v>
      </c>
      <c r="E73" s="5">
        <v>209035.5</v>
      </c>
      <c r="F73" s="4">
        <v>51.2</v>
      </c>
      <c r="G73" s="4">
        <v>1</v>
      </c>
      <c r="H73" s="6">
        <v>0.11799999999999999</v>
      </c>
      <c r="I73">
        <f t="shared" si="1"/>
        <v>3122.3358070222689</v>
      </c>
    </row>
    <row r="74" spans="1:9" ht="15" x14ac:dyDescent="0.25">
      <c r="A74" s="1" t="s">
        <v>47</v>
      </c>
      <c r="B74" s="4">
        <v>1153.75</v>
      </c>
      <c r="C74" s="11">
        <v>0.72199999999999998</v>
      </c>
      <c r="D74" s="6">
        <v>0.14899999999999999</v>
      </c>
      <c r="E74" s="5">
        <v>357982.2</v>
      </c>
      <c r="F74" s="4">
        <v>12.8</v>
      </c>
      <c r="G74" s="4">
        <v>7.5</v>
      </c>
      <c r="H74" s="6">
        <v>0.11799999999999999</v>
      </c>
      <c r="I74">
        <f t="shared" si="1"/>
        <v>3497.0161038649412</v>
      </c>
    </row>
    <row r="75" spans="1:9" ht="15" x14ac:dyDescent="0.25">
      <c r="A75" s="1" t="s">
        <v>35</v>
      </c>
      <c r="B75" s="4">
        <v>383.85</v>
      </c>
      <c r="C75" s="6">
        <v>0.22600000000000001</v>
      </c>
      <c r="D75" s="6">
        <v>0.17599999999999999</v>
      </c>
      <c r="E75" s="5">
        <v>122653.1</v>
      </c>
      <c r="F75" s="4">
        <v>29.1</v>
      </c>
      <c r="G75" s="4">
        <v>1.6</v>
      </c>
      <c r="H75" s="6">
        <v>0.11700000000000001</v>
      </c>
      <c r="I75">
        <f t="shared" si="1"/>
        <v>3916.6580363287339</v>
      </c>
    </row>
    <row r="76" spans="1:9" ht="15" x14ac:dyDescent="0.25">
      <c r="A76" s="1" t="s">
        <v>48</v>
      </c>
      <c r="B76" s="4">
        <v>2744.9</v>
      </c>
      <c r="C76" s="6">
        <v>3.4000000000000002E-2</v>
      </c>
      <c r="D76" s="6">
        <v>0.14599999999999999</v>
      </c>
      <c r="E76" s="5">
        <v>186812.6</v>
      </c>
      <c r="F76" s="4">
        <v>22.4</v>
      </c>
      <c r="G76" s="4">
        <v>1.9</v>
      </c>
      <c r="H76" s="6">
        <v>0.11600000000000001</v>
      </c>
      <c r="I76">
        <f t="shared" si="1"/>
        <v>4386.6570006881821</v>
      </c>
    </row>
    <row r="77" spans="1:9" ht="15" x14ac:dyDescent="0.25">
      <c r="A77" s="1" t="s">
        <v>44</v>
      </c>
      <c r="B77" s="4">
        <v>16266.7</v>
      </c>
      <c r="C77" s="6">
        <v>0.20599999999999999</v>
      </c>
      <c r="D77" s="6">
        <v>0.151</v>
      </c>
      <c r="E77" s="5">
        <v>511429.2</v>
      </c>
      <c r="F77" s="4">
        <v>35.700000000000003</v>
      </c>
      <c r="G77" s="14">
        <v>0</v>
      </c>
      <c r="H77" s="6">
        <v>0.115</v>
      </c>
      <c r="I77">
        <f t="shared" si="1"/>
        <v>4913.055840770764</v>
      </c>
    </row>
    <row r="78" spans="1:9" ht="15" x14ac:dyDescent="0.25">
      <c r="A78" s="1" t="s">
        <v>80</v>
      </c>
      <c r="B78" s="4">
        <v>1586.55</v>
      </c>
      <c r="C78" s="6">
        <v>0.21299999999999999</v>
      </c>
      <c r="D78" s="6">
        <v>9.9000000000000005E-2</v>
      </c>
      <c r="E78" s="5">
        <v>380666.5</v>
      </c>
      <c r="F78" s="4">
        <v>36.6</v>
      </c>
      <c r="G78" s="14">
        <v>0</v>
      </c>
      <c r="H78" s="6">
        <v>0.115</v>
      </c>
      <c r="I78">
        <f t="shared" si="1"/>
        <v>5502.622541663256</v>
      </c>
    </row>
    <row r="79" spans="1:9" ht="15" x14ac:dyDescent="0.25">
      <c r="A79" s="1" t="s">
        <v>62</v>
      </c>
      <c r="B79" s="4">
        <v>12070.55</v>
      </c>
      <c r="C79" s="6">
        <v>0.01</v>
      </c>
      <c r="D79" s="6">
        <v>0.124</v>
      </c>
      <c r="E79" s="5">
        <v>355694</v>
      </c>
      <c r="F79" s="4">
        <v>50.7</v>
      </c>
      <c r="G79" s="14">
        <v>0.3</v>
      </c>
      <c r="H79" s="6">
        <v>0.112</v>
      </c>
      <c r="I79">
        <f t="shared" si="1"/>
        <v>6162.9372466628465</v>
      </c>
    </row>
    <row r="80" spans="1:9" ht="15" x14ac:dyDescent="0.25">
      <c r="A80" s="1" t="s">
        <v>77</v>
      </c>
      <c r="B80" s="4">
        <v>248.4</v>
      </c>
      <c r="C80" s="11">
        <v>0.86099999999999999</v>
      </c>
      <c r="D80" s="6">
        <v>0.10199999999999999</v>
      </c>
      <c r="E80" s="5">
        <v>128456.6</v>
      </c>
      <c r="F80" s="14">
        <v>6.7</v>
      </c>
      <c r="G80" s="4">
        <v>11.1</v>
      </c>
      <c r="H80" s="6">
        <v>0.109</v>
      </c>
      <c r="I80">
        <f t="shared" si="1"/>
        <v>6902.4897162623884</v>
      </c>
    </row>
    <row r="81" spans="1:9" ht="15" x14ac:dyDescent="0.25">
      <c r="A81" s="1" t="s">
        <v>65</v>
      </c>
      <c r="B81" s="4">
        <v>12690.25</v>
      </c>
      <c r="C81" s="6">
        <v>0.16900000000000001</v>
      </c>
      <c r="D81" s="6">
        <v>0.11700000000000001</v>
      </c>
      <c r="E81" s="5">
        <v>141234.20000000001</v>
      </c>
      <c r="F81" s="4">
        <v>69.599999999999994</v>
      </c>
      <c r="G81" s="14">
        <v>0</v>
      </c>
      <c r="H81" s="6">
        <v>0.108</v>
      </c>
      <c r="I81">
        <f t="shared" si="1"/>
        <v>7730.7884822138749</v>
      </c>
    </row>
    <row r="82" spans="1:9" ht="15" x14ac:dyDescent="0.25">
      <c r="A82" s="10" t="s">
        <v>11</v>
      </c>
      <c r="B82" s="4">
        <v>1123.25</v>
      </c>
      <c r="C82" s="11">
        <v>1.4219999999999999</v>
      </c>
      <c r="D82" s="11">
        <v>0.46</v>
      </c>
      <c r="E82" s="5">
        <v>109206.5</v>
      </c>
      <c r="F82" s="4">
        <v>95.2</v>
      </c>
      <c r="G82" s="14">
        <v>0.3</v>
      </c>
      <c r="H82" s="6">
        <v>9.8000000000000004E-2</v>
      </c>
      <c r="I82">
        <f t="shared" si="1"/>
        <v>8658.4831000795402</v>
      </c>
    </row>
    <row r="83" spans="1:9" ht="15" x14ac:dyDescent="0.25">
      <c r="A83" s="1" t="s">
        <v>96</v>
      </c>
      <c r="B83" s="4">
        <v>565</v>
      </c>
      <c r="C83" s="6">
        <v>0.107</v>
      </c>
      <c r="D83" s="6">
        <v>7.3999999999999996E-2</v>
      </c>
      <c r="E83" s="5">
        <v>139658</v>
      </c>
      <c r="F83" s="4">
        <v>26.2</v>
      </c>
      <c r="G83" s="14">
        <v>0</v>
      </c>
      <c r="H83" s="6">
        <v>9.6000000000000002E-2</v>
      </c>
      <c r="I83">
        <f t="shared" si="1"/>
        <v>9697.5010720890859</v>
      </c>
    </row>
    <row r="84" spans="1:9" ht="15" x14ac:dyDescent="0.25">
      <c r="A84" s="1" t="s">
        <v>79</v>
      </c>
      <c r="B84" s="4">
        <v>1377.75</v>
      </c>
      <c r="C84" s="6">
        <v>0.152</v>
      </c>
      <c r="D84" s="6">
        <v>9.9000000000000005E-2</v>
      </c>
      <c r="E84" s="5">
        <v>1864436.4</v>
      </c>
      <c r="F84" s="4">
        <v>19.8</v>
      </c>
      <c r="G84" s="4">
        <v>0.4</v>
      </c>
      <c r="H84" s="6">
        <v>9.2999999999999999E-2</v>
      </c>
      <c r="I84">
        <f t="shared" si="1"/>
        <v>10861.201200739775</v>
      </c>
    </row>
    <row r="85" spans="1:9" ht="15" x14ac:dyDescent="0.25">
      <c r="A85" s="1" t="s">
        <v>53</v>
      </c>
      <c r="B85" s="4">
        <v>105.66</v>
      </c>
      <c r="C85" s="11">
        <v>0.34699999999999998</v>
      </c>
      <c r="D85" s="6">
        <v>0.13400000000000001</v>
      </c>
      <c r="E85" s="5">
        <v>111518.2</v>
      </c>
      <c r="F85" s="4">
        <v>35.799999999999997</v>
      </c>
      <c r="G85" s="4">
        <v>0.4</v>
      </c>
      <c r="H85" s="6">
        <v>8.8999999999999996E-2</v>
      </c>
      <c r="I85">
        <f t="shared" si="1"/>
        <v>12164.545344828548</v>
      </c>
    </row>
    <row r="86" spans="1:9" ht="15" x14ac:dyDescent="0.25">
      <c r="A86" s="1" t="s">
        <v>34</v>
      </c>
      <c r="B86" s="4">
        <v>2543.15</v>
      </c>
      <c r="C86" s="11">
        <v>0.56599999999999995</v>
      </c>
      <c r="D86" s="6">
        <v>0.17699999999999999</v>
      </c>
      <c r="E86" s="5">
        <v>293525.5</v>
      </c>
      <c r="F86" s="4">
        <v>43.5</v>
      </c>
      <c r="G86" s="4">
        <v>1.7</v>
      </c>
      <c r="H86" s="6">
        <v>7.5999999999999998E-2</v>
      </c>
      <c r="I86">
        <f t="shared" si="1"/>
        <v>13624.290786207974</v>
      </c>
    </row>
    <row r="87" spans="1:9" ht="15" x14ac:dyDescent="0.25">
      <c r="A87" s="1" t="s">
        <v>57</v>
      </c>
      <c r="B87" s="4">
        <v>1118.95</v>
      </c>
      <c r="C87" s="6">
        <v>0.20899999999999999</v>
      </c>
      <c r="D87" s="6">
        <v>0.128</v>
      </c>
      <c r="E87" s="5">
        <v>110724.8</v>
      </c>
      <c r="F87" s="4">
        <v>78.400000000000006</v>
      </c>
      <c r="G87" s="14">
        <v>0.1</v>
      </c>
      <c r="H87" s="6">
        <v>7.4999999999999997E-2</v>
      </c>
      <c r="I87">
        <f t="shared" si="1"/>
        <v>15259.20568055293</v>
      </c>
    </row>
    <row r="88" spans="1:9" ht="15" x14ac:dyDescent="0.25">
      <c r="A88" s="1" t="s">
        <v>101</v>
      </c>
      <c r="B88" s="4">
        <v>1140.8499999999999</v>
      </c>
      <c r="C88" s="11">
        <v>0.30099999999999999</v>
      </c>
      <c r="D88" s="6">
        <v>2.1000000000000001E-2</v>
      </c>
      <c r="E88" s="5">
        <v>113912.7</v>
      </c>
      <c r="F88" s="4">
        <v>38.4</v>
      </c>
      <c r="G88" s="4">
        <v>0.4</v>
      </c>
      <c r="H88" s="6">
        <v>7.4999999999999997E-2</v>
      </c>
      <c r="I88">
        <f t="shared" si="1"/>
        <v>17090.310362219283</v>
      </c>
    </row>
    <row r="89" spans="1:9" ht="15" x14ac:dyDescent="0.25">
      <c r="A89" s="1" t="s">
        <v>98</v>
      </c>
      <c r="B89" s="4">
        <v>33683.4</v>
      </c>
      <c r="C89" s="11">
        <v>0.32</v>
      </c>
      <c r="D89" s="6">
        <v>6.6000000000000003E-2</v>
      </c>
      <c r="E89" s="5">
        <v>964013.9</v>
      </c>
      <c r="F89" s="2" t="s">
        <v>10</v>
      </c>
      <c r="G89" s="4">
        <v>0.6</v>
      </c>
      <c r="H89" s="6">
        <v>7.0999999999999994E-2</v>
      </c>
      <c r="I89">
        <f t="shared" si="1"/>
        <v>19141.147605685597</v>
      </c>
    </row>
    <row r="90" spans="1:9" ht="15" x14ac:dyDescent="0.25">
      <c r="A90" s="1" t="s">
        <v>33</v>
      </c>
      <c r="B90" s="4">
        <v>107.75</v>
      </c>
      <c r="C90" s="11">
        <v>1.113</v>
      </c>
      <c r="D90" s="6">
        <v>0.17699999999999999</v>
      </c>
      <c r="E90" s="5">
        <v>123836.5</v>
      </c>
      <c r="F90" s="14">
        <v>8</v>
      </c>
      <c r="G90" s="4">
        <v>12.6</v>
      </c>
      <c r="H90" s="6">
        <v>6.4000000000000001E-2</v>
      </c>
      <c r="I90">
        <f t="shared" si="1"/>
        <v>21438.08531836787</v>
      </c>
    </row>
    <row r="91" spans="1:9" ht="15" x14ac:dyDescent="0.25">
      <c r="A91" s="1" t="s">
        <v>99</v>
      </c>
      <c r="B91" s="4">
        <v>715.75</v>
      </c>
      <c r="C91" s="12" t="s">
        <v>10</v>
      </c>
      <c r="D91" s="6">
        <v>5.6000000000000001E-2</v>
      </c>
      <c r="E91" s="5">
        <v>177170.4</v>
      </c>
      <c r="F91" s="4">
        <v>64.7</v>
      </c>
      <c r="G91" s="14">
        <v>0.1</v>
      </c>
      <c r="H91" s="6">
        <v>3.4000000000000002E-2</v>
      </c>
      <c r="I91">
        <f t="shared" si="1"/>
        <v>24010.655556572015</v>
      </c>
    </row>
    <row r="92" spans="1:9" ht="15" x14ac:dyDescent="0.25">
      <c r="A92" s="10" t="s">
        <v>12</v>
      </c>
      <c r="B92" s="4">
        <v>295.75</v>
      </c>
      <c r="C92" s="11">
        <v>0.47599999999999998</v>
      </c>
      <c r="D92" s="11">
        <v>0.42399999999999999</v>
      </c>
      <c r="E92" s="5">
        <v>187898.4</v>
      </c>
      <c r="F92" s="4">
        <v>148.9</v>
      </c>
      <c r="G92" s="14">
        <v>0</v>
      </c>
      <c r="H92" s="6">
        <v>3.2000000000000001E-2</v>
      </c>
      <c r="I92">
        <f t="shared" si="1"/>
        <v>26891.934223360659</v>
      </c>
    </row>
    <row r="93" spans="1:9" ht="15" x14ac:dyDescent="0.25">
      <c r="A93" s="10" t="s">
        <v>9</v>
      </c>
      <c r="B93" s="4">
        <v>321.05</v>
      </c>
      <c r="C93" s="12" t="s">
        <v>10</v>
      </c>
      <c r="D93" s="11">
        <v>0.50700000000000001</v>
      </c>
      <c r="E93" s="5">
        <v>309824.5</v>
      </c>
      <c r="F93" s="4">
        <v>1036.2</v>
      </c>
      <c r="G93" s="14">
        <v>0</v>
      </c>
      <c r="H93" s="6">
        <v>7.0000000000000001E-3</v>
      </c>
      <c r="I93">
        <f t="shared" si="1"/>
        <v>30118.966330163938</v>
      </c>
    </row>
    <row r="94" spans="1:9" ht="15" x14ac:dyDescent="0.25">
      <c r="A94" s="10" t="s">
        <v>15</v>
      </c>
      <c r="B94" s="4">
        <v>420.85</v>
      </c>
      <c r="C94" s="12" t="s">
        <v>10</v>
      </c>
      <c r="D94" s="11">
        <v>0.34399999999999997</v>
      </c>
      <c r="E94" s="5">
        <v>104945.1</v>
      </c>
      <c r="F94" s="2" t="s">
        <v>10</v>
      </c>
      <c r="G94" s="14">
        <v>0</v>
      </c>
      <c r="H94" s="6">
        <v>0</v>
      </c>
      <c r="I94">
        <f t="shared" si="1"/>
        <v>33733.242289783608</v>
      </c>
    </row>
    <row r="96" spans="1:9" x14ac:dyDescent="0.2">
      <c r="A96" s="3" t="s">
        <v>102</v>
      </c>
    </row>
    <row r="97" spans="1:1" x14ac:dyDescent="0.2">
      <c r="A97" s="3" t="s">
        <v>103</v>
      </c>
    </row>
    <row r="99" spans="1:1" x14ac:dyDescent="0.2">
      <c r="A99" s="3" t="s">
        <v>104</v>
      </c>
    </row>
    <row r="100" spans="1:1" x14ac:dyDescent="0.2">
      <c r="A100" s="3" t="s">
        <v>105</v>
      </c>
    </row>
  </sheetData>
  <autoFilter ref="A1:H94" xr:uid="{00000000-0001-0000-0000-000000000000}">
    <sortState xmlns:xlrd2="http://schemas.microsoft.com/office/spreadsheetml/2017/richdata2" ref="A2:H94">
      <sortCondition descending="1" ref="H1:H94"/>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0C9E2-3C7D-41E8-A596-4AC9E5F9962B}">
  <dimension ref="A1:K9"/>
  <sheetViews>
    <sheetView tabSelected="1" zoomScale="145" zoomScaleNormal="145" workbookViewId="0">
      <selection activeCell="I9" sqref="I9"/>
    </sheetView>
  </sheetViews>
  <sheetFormatPr defaultRowHeight="12.75" x14ac:dyDescent="0.2"/>
  <cols>
    <col min="1" max="1" width="5" bestFit="1" customWidth="1"/>
    <col min="2" max="2" width="14.28515625" bestFit="1" customWidth="1"/>
    <col min="3" max="3" width="7.28515625" bestFit="1" customWidth="1"/>
    <col min="4" max="4" width="7" bestFit="1" customWidth="1"/>
    <col min="5" max="5" width="12.5703125" bestFit="1" customWidth="1"/>
    <col min="6" max="6" width="8.140625" bestFit="1" customWidth="1"/>
    <col min="7" max="7" width="11" bestFit="1" customWidth="1"/>
    <col min="8" max="8" width="13.42578125" bestFit="1" customWidth="1"/>
    <col min="9" max="10" width="13.140625" bestFit="1" customWidth="1"/>
    <col min="11" max="11" width="6.85546875" bestFit="1" customWidth="1"/>
  </cols>
  <sheetData>
    <row r="1" spans="1:11" x14ac:dyDescent="0.2">
      <c r="A1" t="s">
        <v>106</v>
      </c>
      <c r="B1" t="s">
        <v>107</v>
      </c>
      <c r="C1" t="s">
        <v>117</v>
      </c>
      <c r="D1" t="s">
        <v>108</v>
      </c>
      <c r="E1" t="s">
        <v>118</v>
      </c>
      <c r="F1" t="s">
        <v>119</v>
      </c>
      <c r="G1" t="s">
        <v>120</v>
      </c>
      <c r="H1" t="s">
        <v>121</v>
      </c>
      <c r="I1" t="s">
        <v>122</v>
      </c>
      <c r="J1" t="s">
        <v>123</v>
      </c>
      <c r="K1" t="s">
        <v>124</v>
      </c>
    </row>
    <row r="2" spans="1:11" x14ac:dyDescent="0.2">
      <c r="A2">
        <v>1</v>
      </c>
      <c r="B2" t="s">
        <v>109</v>
      </c>
      <c r="C2">
        <v>255.48</v>
      </c>
      <c r="D2">
        <v>121.55</v>
      </c>
      <c r="E2">
        <v>4908.3599999999997</v>
      </c>
      <c r="F2">
        <v>0</v>
      </c>
      <c r="G2">
        <v>10.9</v>
      </c>
      <c r="H2">
        <v>173.87</v>
      </c>
      <c r="I2">
        <v>135.59</v>
      </c>
      <c r="J2">
        <v>68.75</v>
      </c>
      <c r="K2">
        <v>11.93</v>
      </c>
    </row>
    <row r="3" spans="1:11" x14ac:dyDescent="0.2">
      <c r="A3">
        <v>2</v>
      </c>
      <c r="B3" t="s">
        <v>110</v>
      </c>
      <c r="C3">
        <v>352.05</v>
      </c>
      <c r="D3">
        <v>58.31</v>
      </c>
      <c r="E3">
        <v>4013.78</v>
      </c>
      <c r="F3">
        <v>0</v>
      </c>
      <c r="G3">
        <v>18.52</v>
      </c>
      <c r="H3">
        <v>52.43</v>
      </c>
      <c r="I3">
        <v>312.27999999999997</v>
      </c>
      <c r="J3">
        <v>22.31</v>
      </c>
      <c r="K3">
        <v>19.84</v>
      </c>
    </row>
    <row r="4" spans="1:11" x14ac:dyDescent="0.2">
      <c r="A4">
        <v>3</v>
      </c>
      <c r="B4" t="s">
        <v>111</v>
      </c>
      <c r="C4">
        <v>264.10000000000002</v>
      </c>
      <c r="D4">
        <v>179.24</v>
      </c>
      <c r="E4">
        <v>2674.27</v>
      </c>
      <c r="F4">
        <v>0</v>
      </c>
      <c r="G4">
        <v>1.43</v>
      </c>
      <c r="H4">
        <v>-43.7</v>
      </c>
      <c r="I4">
        <v>19.940000000000001</v>
      </c>
      <c r="J4">
        <v>-63.11</v>
      </c>
      <c r="K4">
        <v>11.29</v>
      </c>
    </row>
    <row r="5" spans="1:11" x14ac:dyDescent="0.2">
      <c r="A5">
        <v>4</v>
      </c>
      <c r="B5" t="s">
        <v>112</v>
      </c>
      <c r="C5">
        <v>320.5</v>
      </c>
      <c r="D5">
        <v>9.9499999999999993</v>
      </c>
      <c r="E5">
        <v>2112.08</v>
      </c>
      <c r="F5">
        <v>0.62</v>
      </c>
      <c r="G5">
        <v>61.7</v>
      </c>
      <c r="H5">
        <v>11.07</v>
      </c>
      <c r="I5">
        <v>3152.14</v>
      </c>
      <c r="J5">
        <v>-26.13</v>
      </c>
      <c r="K5">
        <v>14.19</v>
      </c>
    </row>
    <row r="6" spans="1:11" x14ac:dyDescent="0.2">
      <c r="A6">
        <v>5</v>
      </c>
      <c r="B6" t="s">
        <v>113</v>
      </c>
      <c r="C6">
        <v>858.7</v>
      </c>
      <c r="D6">
        <v>289.45</v>
      </c>
      <c r="E6">
        <v>1959.55</v>
      </c>
      <c r="F6">
        <v>0.12</v>
      </c>
      <c r="G6">
        <v>1.8</v>
      </c>
      <c r="H6">
        <v>-60.53</v>
      </c>
      <c r="I6">
        <v>74.790000000000006</v>
      </c>
      <c r="J6">
        <v>0.96</v>
      </c>
      <c r="K6">
        <v>14.38</v>
      </c>
    </row>
    <row r="7" spans="1:11" x14ac:dyDescent="0.2">
      <c r="A7">
        <v>6</v>
      </c>
      <c r="B7" t="s">
        <v>114</v>
      </c>
      <c r="C7">
        <v>485.75</v>
      </c>
      <c r="D7">
        <v>16.420000000000002</v>
      </c>
      <c r="E7">
        <v>1724.65</v>
      </c>
      <c r="F7">
        <v>4.12</v>
      </c>
      <c r="G7">
        <v>24.38</v>
      </c>
      <c r="H7">
        <v>3.26</v>
      </c>
      <c r="I7">
        <v>350.16</v>
      </c>
      <c r="J7">
        <v>1.26</v>
      </c>
      <c r="K7">
        <v>28.34</v>
      </c>
    </row>
    <row r="8" spans="1:11" x14ac:dyDescent="0.2">
      <c r="A8">
        <v>7</v>
      </c>
      <c r="B8" t="s">
        <v>115</v>
      </c>
      <c r="C8">
        <v>790</v>
      </c>
      <c r="D8">
        <v>13.25</v>
      </c>
      <c r="E8">
        <v>1263.54</v>
      </c>
      <c r="F8">
        <v>1.27</v>
      </c>
      <c r="G8">
        <v>8.56</v>
      </c>
      <c r="H8">
        <v>-42.97</v>
      </c>
      <c r="I8">
        <v>111.29</v>
      </c>
      <c r="J8">
        <v>13.76</v>
      </c>
      <c r="K8">
        <v>18.46</v>
      </c>
    </row>
    <row r="9" spans="1:11" x14ac:dyDescent="0.2">
      <c r="A9">
        <v>8</v>
      </c>
      <c r="B9" t="s">
        <v>116</v>
      </c>
      <c r="C9">
        <v>265.2</v>
      </c>
      <c r="D9">
        <v>50.79</v>
      </c>
      <c r="E9">
        <v>349.96</v>
      </c>
      <c r="F9">
        <v>0</v>
      </c>
      <c r="G9">
        <v>4.6900000000000004</v>
      </c>
      <c r="H9">
        <v>108.44</v>
      </c>
      <c r="I9">
        <v>120.5</v>
      </c>
      <c r="J9">
        <v>82.02</v>
      </c>
      <c r="K9">
        <v>17.850000000000001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Equitymaster</dc:title>
  <dc:creator>Equitymaster</dc:creator>
  <cp:lastModifiedBy>Kedar Gurav</cp:lastModifiedBy>
  <dcterms:created xsi:type="dcterms:W3CDTF">2025-09-28T05:54:15Z</dcterms:created>
  <dcterms:modified xsi:type="dcterms:W3CDTF">2025-10-02T07:14:42Z</dcterms:modified>
</cp:coreProperties>
</file>